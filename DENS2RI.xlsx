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randh\MOLAR_EXCESS\"/>
    </mc:Choice>
  </mc:AlternateContent>
  <xr:revisionPtr revIDLastSave="0" documentId="13_ncr:1_{15B6FB62-238D-4A41-81A6-E7404B956C0D}" xr6:coauthVersionLast="45" xr6:coauthVersionMax="45" xr10:uidLastSave="{00000000-0000-0000-0000-000000000000}"/>
  <bookViews>
    <workbookView xWindow="-120" yWindow="-120" windowWidth="20730" windowHeight="11040" activeTab="2" xr2:uid="{00000000-000D-0000-FFFF-FFFF00000000}"/>
  </bookViews>
  <sheets>
    <sheet name="BASIS" sheetId="1" r:id="rId1"/>
    <sheet name="COLLECTING" sheetId="3" r:id="rId2"/>
    <sheet name="DATA" sheetId="2" r:id="rId3"/>
    <sheet name="PROCESS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9" i="4"/>
  <c r="E10" i="4"/>
  <c r="E11" i="4"/>
  <c r="E3" i="4"/>
  <c r="D4" i="4"/>
  <c r="D5" i="4"/>
  <c r="D6" i="4"/>
  <c r="D7" i="4"/>
  <c r="D8" i="4"/>
  <c r="D9" i="4"/>
  <c r="D10" i="4"/>
  <c r="D11" i="4"/>
  <c r="D3" i="4"/>
  <c r="C3" i="3"/>
  <c r="C4" i="3"/>
  <c r="C5" i="3"/>
  <c r="C6" i="3"/>
  <c r="C7" i="3"/>
  <c r="C8" i="3"/>
  <c r="C9" i="3"/>
  <c r="C10" i="3"/>
  <c r="C2" i="3"/>
  <c r="B12" i="4"/>
  <c r="B4" i="4"/>
  <c r="B5" i="4"/>
  <c r="B6" i="4"/>
  <c r="B7" i="4"/>
  <c r="B8" i="4"/>
  <c r="B9" i="4"/>
  <c r="B10" i="4"/>
  <c r="B11" i="4"/>
  <c r="B3" i="4"/>
  <c r="B2" i="4"/>
  <c r="A2" i="4" a="1"/>
  <c r="A2" i="4" s="1"/>
  <c r="C2" i="4" s="1"/>
  <c r="C9" i="4" l="1"/>
  <c r="C5" i="4"/>
  <c r="C11" i="4"/>
  <c r="C7" i="4"/>
  <c r="C3" i="4"/>
  <c r="C10" i="4"/>
  <c r="C6" i="4"/>
  <c r="C12" i="4"/>
  <c r="C8" i="4"/>
  <c r="C4" i="4"/>
  <c r="D10" i="2"/>
  <c r="D8" i="2"/>
  <c r="D6" i="2"/>
  <c r="D4" i="2"/>
  <c r="M3" i="2"/>
  <c r="M4" i="2"/>
  <c r="M5" i="2"/>
  <c r="M6" i="2"/>
  <c r="M7" i="2"/>
  <c r="M8" i="2"/>
  <c r="M9" i="2"/>
  <c r="M10" i="2"/>
  <c r="M11" i="2"/>
  <c r="M12" i="2"/>
  <c r="M2" i="2"/>
  <c r="D3" i="2"/>
  <c r="D5" i="2"/>
  <c r="D7" i="2"/>
  <c r="D9" i="2"/>
  <c r="D11" i="2"/>
  <c r="D12" i="2"/>
  <c r="D2" i="2"/>
  <c r="E2" i="3"/>
  <c r="E3" i="3"/>
  <c r="E4" i="3"/>
  <c r="E5" i="3"/>
  <c r="E6" i="3"/>
  <c r="E7" i="3"/>
  <c r="E8" i="3"/>
  <c r="E9" i="3"/>
  <c r="E10" i="3"/>
  <c r="D3" i="3"/>
  <c r="D4" i="3"/>
  <c r="D5" i="3"/>
  <c r="D6" i="3"/>
  <c r="D7" i="3"/>
  <c r="D8" i="3"/>
  <c r="D9" i="3"/>
  <c r="D10" i="3"/>
  <c r="D2" i="3"/>
  <c r="H11" i="2"/>
  <c r="I11" i="2" s="1"/>
  <c r="J11" i="2"/>
  <c r="H10" i="2"/>
  <c r="I10" i="2"/>
  <c r="J10" i="2"/>
  <c r="H9" i="2"/>
  <c r="I9" i="2" s="1"/>
  <c r="H8" i="2"/>
  <c r="I8" i="2" s="1"/>
  <c r="H7" i="2"/>
  <c r="I7" i="2" s="1"/>
  <c r="J7" i="2"/>
  <c r="G11" i="2"/>
  <c r="G10" i="2"/>
  <c r="G9" i="2"/>
  <c r="G8" i="2"/>
  <c r="G7" i="2"/>
  <c r="J9" i="2" l="1"/>
  <c r="J8" i="2"/>
  <c r="J4" i="2"/>
  <c r="J5" i="2"/>
  <c r="J6" i="2"/>
  <c r="J3" i="2"/>
  <c r="I4" i="2"/>
  <c r="I5" i="2"/>
  <c r="I6" i="2"/>
  <c r="I3" i="2"/>
  <c r="H4" i="2"/>
  <c r="H5" i="2"/>
  <c r="H6" i="2"/>
  <c r="H3" i="2"/>
  <c r="G4" i="2"/>
  <c r="G5" i="2"/>
  <c r="G6" i="2"/>
  <c r="G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<sst xmlns="http://schemas.openxmlformats.org/spreadsheetml/2006/main" count="40" uniqueCount="36">
  <si>
    <t xml:space="preserve">Índice de refracción MMA </t>
  </si>
  <si>
    <t>Índice de refracción Acrilato</t>
  </si>
  <si>
    <t>Densidad MMA 25°C</t>
  </si>
  <si>
    <t>Densidad Acrilato 25°C</t>
  </si>
  <si>
    <t>--</t>
  </si>
  <si>
    <t>Unidad</t>
  </si>
  <si>
    <t>g/ml</t>
  </si>
  <si>
    <t>A</t>
  </si>
  <si>
    <t>B</t>
  </si>
  <si>
    <t>MMA</t>
  </si>
  <si>
    <t xml:space="preserve">Acrilato </t>
  </si>
  <si>
    <t>M_A</t>
  </si>
  <si>
    <t>M_B</t>
  </si>
  <si>
    <t>MOL-A</t>
  </si>
  <si>
    <t>MOL-B</t>
  </si>
  <si>
    <t>N_A</t>
  </si>
  <si>
    <t>N_B</t>
  </si>
  <si>
    <t>MUESTRA</t>
  </si>
  <si>
    <t>DENSIDAD_1</t>
  </si>
  <si>
    <t>DENSIDAD_2</t>
  </si>
  <si>
    <t>DENSIDAD_M</t>
  </si>
  <si>
    <t>MASS_1</t>
  </si>
  <si>
    <t>MASS_2</t>
  </si>
  <si>
    <t>Density_1</t>
  </si>
  <si>
    <t>Density_2</t>
  </si>
  <si>
    <t>IR_1</t>
  </si>
  <si>
    <t>IR_2</t>
  </si>
  <si>
    <t>IR_M</t>
  </si>
  <si>
    <t>W_B</t>
  </si>
  <si>
    <t>W_A</t>
  </si>
  <si>
    <t>δn_D</t>
  </si>
  <si>
    <t>n_D</t>
  </si>
  <si>
    <t>D-xn_D</t>
  </si>
  <si>
    <t>MASS_M</t>
  </si>
  <si>
    <t>x_A-M_A</t>
  </si>
  <si>
    <t>x_B-M_B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</si>
</sst>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Futura Bk BT"/>
      <family val="2"/>
    </font>
    <font>
      <sz val="11"/>
      <color theme="1"/>
      <name val="Futura Bk BT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quotePrefix="1" applyFont="1" applyBorder="1"/>
    <xf numFmtId="164" fontId="4" fillId="0" borderId="1" xfId="0" quotePrefix="1" applyNumberFormat="1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165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0" sqref="A10"/>
    </sheetView>
  </sheetViews>
  <sheetFormatPr baseColWidth="10" defaultColWidth="9.140625" defaultRowHeight="15" x14ac:dyDescent="0.25"/>
  <cols>
    <col min="1" max="1" width="26.28515625" bestFit="1" customWidth="1"/>
    <col min="2" max="2" width="11.140625" customWidth="1"/>
  </cols>
  <sheetData>
    <row r="1" spans="1:2" x14ac:dyDescent="0.25">
      <c r="A1" s="1"/>
      <c r="B1" s="2" t="s">
        <v>5</v>
      </c>
    </row>
    <row r="2" spans="1:2" x14ac:dyDescent="0.25">
      <c r="A2" s="1" t="s">
        <v>0</v>
      </c>
      <c r="B2" s="1"/>
    </row>
    <row r="3" spans="1:2" x14ac:dyDescent="0.25">
      <c r="A3" s="1" t="s">
        <v>1</v>
      </c>
      <c r="B3" s="1"/>
    </row>
    <row r="4" spans="1:2" x14ac:dyDescent="0.25">
      <c r="A4" s="1" t="s">
        <v>2</v>
      </c>
      <c r="B4" s="3" t="s">
        <v>6</v>
      </c>
    </row>
    <row r="5" spans="1:2" x14ac:dyDescent="0.25">
      <c r="A5" s="1" t="s">
        <v>3</v>
      </c>
      <c r="B5" s="3" t="s">
        <v>6</v>
      </c>
    </row>
    <row r="6" spans="1:2" x14ac:dyDescent="0.25">
      <c r="A6" s="1" t="s">
        <v>7</v>
      </c>
      <c r="B6" s="1" t="s">
        <v>10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11</v>
      </c>
      <c r="B8" s="1">
        <v>128.16999999999999</v>
      </c>
    </row>
    <row r="9" spans="1:2" x14ac:dyDescent="0.25">
      <c r="A9" s="1" t="s">
        <v>12</v>
      </c>
      <c r="B9" s="1">
        <v>100.13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86E0-0335-4441-ABD8-081DF77699AC}">
  <dimension ref="A1:E10"/>
  <sheetViews>
    <sheetView workbookViewId="0">
      <selection activeCell="G7" sqref="G7"/>
    </sheetView>
  </sheetViews>
  <sheetFormatPr baseColWidth="10" defaultRowHeight="15" x14ac:dyDescent="0.25"/>
  <sheetData>
    <row r="1" spans="1:5" x14ac:dyDescent="0.25">
      <c r="A1" t="s">
        <v>21</v>
      </c>
      <c r="B1" t="s">
        <v>22</v>
      </c>
      <c r="C1" t="s">
        <v>33</v>
      </c>
      <c r="D1" t="s">
        <v>23</v>
      </c>
      <c r="E1" t="s">
        <v>24</v>
      </c>
    </row>
    <row r="2" spans="1:5" x14ac:dyDescent="0.25">
      <c r="A2" s="5">
        <v>4.625</v>
      </c>
      <c r="B2" s="5">
        <v>4.5999999999999996</v>
      </c>
      <c r="C2" s="5">
        <f>A2/2+B2/2</f>
        <v>4.6124999999999998</v>
      </c>
      <c r="D2" s="5">
        <f>A2/5</f>
        <v>0.92500000000000004</v>
      </c>
      <c r="E2" s="5">
        <f>B2/5</f>
        <v>0.91999999999999993</v>
      </c>
    </row>
    <row r="3" spans="1:5" x14ac:dyDescent="0.25">
      <c r="A3" s="5">
        <v>4.5919999999999996</v>
      </c>
      <c r="B3" s="5">
        <v>4.5490000000000004</v>
      </c>
      <c r="C3" s="5">
        <f t="shared" ref="C3:C10" si="0">A3/2+B3/2</f>
        <v>4.5705</v>
      </c>
      <c r="D3" s="5">
        <f t="shared" ref="D3:E10" si="1">A3/5</f>
        <v>0.91839999999999988</v>
      </c>
      <c r="E3" s="5">
        <f t="shared" si="1"/>
        <v>0.90980000000000005</v>
      </c>
    </row>
    <row r="4" spans="1:5" x14ac:dyDescent="0.25">
      <c r="A4" s="5">
        <v>4.5540000000000003</v>
      </c>
      <c r="B4" s="5">
        <v>4.5789999999999997</v>
      </c>
      <c r="C4" s="5">
        <f t="shared" si="0"/>
        <v>4.5664999999999996</v>
      </c>
      <c r="D4" s="5">
        <f t="shared" si="1"/>
        <v>0.91080000000000005</v>
      </c>
      <c r="E4" s="5">
        <f t="shared" si="1"/>
        <v>0.91579999999999995</v>
      </c>
    </row>
    <row r="5" spans="1:5" x14ac:dyDescent="0.25">
      <c r="A5" s="5">
        <v>4.5140000000000002</v>
      </c>
      <c r="B5" s="5">
        <v>4.5179999999999998</v>
      </c>
      <c r="C5" s="5">
        <f t="shared" si="0"/>
        <v>4.516</v>
      </c>
      <c r="D5" s="5">
        <f t="shared" si="1"/>
        <v>0.90280000000000005</v>
      </c>
      <c r="E5" s="5">
        <f t="shared" si="1"/>
        <v>0.90359999999999996</v>
      </c>
    </row>
    <row r="6" spans="1:5" x14ac:dyDescent="0.25">
      <c r="A6" s="5">
        <v>4.4320000000000004</v>
      </c>
      <c r="B6" s="5">
        <v>4.4400000000000004</v>
      </c>
      <c r="C6" s="5">
        <f t="shared" si="0"/>
        <v>4.4359999999999999</v>
      </c>
      <c r="D6" s="5">
        <f t="shared" si="1"/>
        <v>0.88640000000000008</v>
      </c>
      <c r="E6" s="5">
        <f t="shared" si="1"/>
        <v>0.88800000000000012</v>
      </c>
    </row>
    <row r="7" spans="1:5" x14ac:dyDescent="0.25">
      <c r="A7" s="5">
        <v>4.4349999999999996</v>
      </c>
      <c r="B7" s="5">
        <v>4.4379999999999997</v>
      </c>
      <c r="C7" s="5">
        <f t="shared" si="0"/>
        <v>4.4364999999999997</v>
      </c>
      <c r="D7" s="5">
        <f t="shared" si="1"/>
        <v>0.8869999999999999</v>
      </c>
      <c r="E7" s="5">
        <f t="shared" si="1"/>
        <v>0.88759999999999994</v>
      </c>
    </row>
    <row r="8" spans="1:5" x14ac:dyDescent="0.25">
      <c r="A8" s="5">
        <v>4.4080000000000004</v>
      </c>
      <c r="B8" s="5">
        <v>4.399</v>
      </c>
      <c r="C8" s="5">
        <f t="shared" si="0"/>
        <v>4.4035000000000002</v>
      </c>
      <c r="D8" s="5">
        <f t="shared" si="1"/>
        <v>0.88160000000000005</v>
      </c>
      <c r="E8" s="5">
        <f t="shared" si="1"/>
        <v>0.87980000000000003</v>
      </c>
    </row>
    <row r="9" spans="1:5" x14ac:dyDescent="0.25">
      <c r="A9" s="5">
        <v>4.375</v>
      </c>
      <c r="B9" s="5">
        <v>4.3949999999999996</v>
      </c>
      <c r="C9" s="5">
        <f t="shared" si="0"/>
        <v>4.3849999999999998</v>
      </c>
      <c r="D9" s="5">
        <f t="shared" si="1"/>
        <v>0.875</v>
      </c>
      <c r="E9" s="5">
        <f t="shared" si="1"/>
        <v>0.87899999999999989</v>
      </c>
    </row>
    <row r="10" spans="1:5" x14ac:dyDescent="0.25">
      <c r="A10" s="5">
        <v>4.3490000000000002</v>
      </c>
      <c r="B10" s="5">
        <v>4.3929999999999998</v>
      </c>
      <c r="C10" s="5">
        <f t="shared" si="0"/>
        <v>4.3710000000000004</v>
      </c>
      <c r="D10" s="5">
        <f t="shared" si="1"/>
        <v>0.86980000000000002</v>
      </c>
      <c r="E10" s="5">
        <f t="shared" si="1"/>
        <v>0.87859999999999994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EE21-26A4-46DD-AE90-E5AB959BF71C}">
  <dimension ref="A1:M13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1" max="1" width="12.42578125" style="9" customWidth="1"/>
    <col min="2" max="4" width="16.7109375" style="9" customWidth="1"/>
    <col min="5" max="13" width="12.42578125" style="9" customWidth="1"/>
    <col min="14" max="16384" width="9.140625" style="9"/>
  </cols>
  <sheetData>
    <row r="1" spans="1:13" x14ac:dyDescent="0.25">
      <c r="A1" s="8" t="s">
        <v>17</v>
      </c>
      <c r="B1" s="8" t="s">
        <v>18</v>
      </c>
      <c r="C1" s="8" t="s">
        <v>19</v>
      </c>
      <c r="D1" s="8" t="s">
        <v>20</v>
      </c>
      <c r="E1" s="8" t="s">
        <v>28</v>
      </c>
      <c r="F1" s="8" t="s">
        <v>29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25</v>
      </c>
      <c r="L1" s="8" t="s">
        <v>26</v>
      </c>
      <c r="M1" s="8" t="s">
        <v>27</v>
      </c>
    </row>
    <row r="2" spans="1:13" x14ac:dyDescent="0.25">
      <c r="A2" s="10">
        <v>0</v>
      </c>
      <c r="B2" s="11">
        <v>0.93300000000000005</v>
      </c>
      <c r="C2" s="11">
        <v>0.93300000000000005</v>
      </c>
      <c r="D2" s="11">
        <f>AVERAGE(B2,C2)</f>
        <v>0.93300000000000005</v>
      </c>
      <c r="E2" s="12">
        <v>100.13</v>
      </c>
      <c r="F2" s="12">
        <v>0</v>
      </c>
      <c r="G2" s="12">
        <v>0</v>
      </c>
      <c r="H2" s="12">
        <v>1</v>
      </c>
      <c r="I2" s="13">
        <v>0</v>
      </c>
      <c r="J2" s="14">
        <v>1</v>
      </c>
      <c r="K2" s="15">
        <v>1.4105000000000001</v>
      </c>
      <c r="L2" s="15">
        <v>1.411</v>
      </c>
      <c r="M2" s="15">
        <f>AVERAGE(K2,L2)</f>
        <v>1.4107500000000002</v>
      </c>
    </row>
    <row r="3" spans="1:13" x14ac:dyDescent="0.25">
      <c r="A3" s="10">
        <v>1</v>
      </c>
      <c r="B3" s="11">
        <v>0.92500000000000004</v>
      </c>
      <c r="C3" s="11">
        <v>0.91999999999999993</v>
      </c>
      <c r="D3" s="11">
        <f t="shared" ref="D3:D12" si="0">AVERAGE(B3,C3)</f>
        <v>0.92249999999999999</v>
      </c>
      <c r="E3" s="14">
        <v>4.2370000000000001</v>
      </c>
      <c r="F3" s="14">
        <v>29.353999999999999</v>
      </c>
      <c r="G3" s="11">
        <f>E3/128.17</f>
        <v>3.3057657798236724E-2</v>
      </c>
      <c r="H3" s="11">
        <f>F3/100.13</f>
        <v>0.29315889343852991</v>
      </c>
      <c r="I3" s="14">
        <f>G3/(G3+H3)</f>
        <v>0.10133654369438666</v>
      </c>
      <c r="J3" s="14">
        <f>H3/(G3+H3)</f>
        <v>0.8986634563056134</v>
      </c>
      <c r="K3" s="15">
        <v>1.411</v>
      </c>
      <c r="L3" s="15">
        <v>1.4105000000000001</v>
      </c>
      <c r="M3" s="15">
        <f t="shared" ref="M3:M12" si="1">AVERAGE(K3,L3)</f>
        <v>1.4107500000000002</v>
      </c>
    </row>
    <row r="4" spans="1:13" x14ac:dyDescent="0.25">
      <c r="A4" s="10">
        <v>2</v>
      </c>
      <c r="B4" s="11">
        <v>0.91839999999999988</v>
      </c>
      <c r="C4" s="11">
        <v>0.90980000000000005</v>
      </c>
      <c r="D4" s="11">
        <f t="shared" si="0"/>
        <v>0.91409999999999991</v>
      </c>
      <c r="E4" s="14">
        <v>8.2539999999999996</v>
      </c>
      <c r="F4" s="14">
        <v>25.748000000000001</v>
      </c>
      <c r="G4" s="11">
        <f t="shared" ref="G4:G11" si="2">E4/128.17</f>
        <v>6.4398845283607717E-2</v>
      </c>
      <c r="H4" s="11">
        <f t="shared" ref="H4:H11" si="3">F4/100.13</f>
        <v>0.25714571057625091</v>
      </c>
      <c r="I4" s="14">
        <f t="shared" ref="I4:I11" si="4">G4/(G4+H4)</f>
        <v>0.20027969408903687</v>
      </c>
      <c r="J4" s="14">
        <f t="shared" ref="J4:J11" si="5">H4/(G4+H4)</f>
        <v>0.7997203059109631</v>
      </c>
      <c r="K4" s="15">
        <v>1.411</v>
      </c>
      <c r="L4" s="15">
        <v>1.4115</v>
      </c>
      <c r="M4" s="15">
        <f t="shared" si="1"/>
        <v>1.4112499999999999</v>
      </c>
    </row>
    <row r="5" spans="1:13" x14ac:dyDescent="0.25">
      <c r="A5" s="10">
        <v>3</v>
      </c>
      <c r="B5" s="11">
        <v>0.91080000000000005</v>
      </c>
      <c r="C5" s="11">
        <v>0.91579999999999995</v>
      </c>
      <c r="D5" s="11">
        <f t="shared" si="0"/>
        <v>0.9133</v>
      </c>
      <c r="E5" s="14">
        <v>5.9930000000000003</v>
      </c>
      <c r="F5" s="14">
        <v>10.855</v>
      </c>
      <c r="G5" s="11">
        <f t="shared" si="2"/>
        <v>4.6758211750019513E-2</v>
      </c>
      <c r="H5" s="11">
        <f t="shared" si="3"/>
        <v>0.10840906821132529</v>
      </c>
      <c r="I5" s="14">
        <f t="shared" si="4"/>
        <v>0.30134066770821721</v>
      </c>
      <c r="J5" s="14">
        <f t="shared" si="5"/>
        <v>0.69865933229178279</v>
      </c>
      <c r="K5" s="15">
        <v>1.4115</v>
      </c>
      <c r="L5" s="15">
        <v>1.4115</v>
      </c>
      <c r="M5" s="15">
        <f t="shared" si="1"/>
        <v>1.4115</v>
      </c>
    </row>
    <row r="6" spans="1:13" x14ac:dyDescent="0.25">
      <c r="A6" s="10">
        <v>4</v>
      </c>
      <c r="B6" s="11">
        <v>0.90280000000000005</v>
      </c>
      <c r="C6" s="11">
        <v>0.90359999999999996</v>
      </c>
      <c r="D6" s="11">
        <f t="shared" si="0"/>
        <v>0.9032</v>
      </c>
      <c r="E6" s="14">
        <v>11.592000000000001</v>
      </c>
      <c r="F6" s="14">
        <v>13.477</v>
      </c>
      <c r="G6" s="11">
        <f t="shared" si="2"/>
        <v>9.0442381212452225E-2</v>
      </c>
      <c r="H6" s="11">
        <f t="shared" si="3"/>
        <v>0.13459502646559474</v>
      </c>
      <c r="I6" s="14">
        <f t="shared" si="4"/>
        <v>0.40189932040918691</v>
      </c>
      <c r="J6" s="14">
        <f t="shared" si="5"/>
        <v>0.59810067959081303</v>
      </c>
      <c r="K6" s="15">
        <v>1.4119999999999999</v>
      </c>
      <c r="L6" s="15">
        <v>1.4119999999999999</v>
      </c>
      <c r="M6" s="15">
        <f t="shared" si="1"/>
        <v>1.4119999999999999</v>
      </c>
    </row>
    <row r="7" spans="1:13" x14ac:dyDescent="0.25">
      <c r="A7" s="10">
        <v>5</v>
      </c>
      <c r="B7" s="11">
        <v>0.88639999999999997</v>
      </c>
      <c r="C7" s="11">
        <v>0.88800000000000001</v>
      </c>
      <c r="D7" s="11">
        <f t="shared" si="0"/>
        <v>0.88719999999999999</v>
      </c>
      <c r="E7" s="14">
        <v>8.8480000000000008</v>
      </c>
      <c r="F7" s="14">
        <v>7.3090000000000002</v>
      </c>
      <c r="G7" s="11">
        <f t="shared" si="2"/>
        <v>6.903331512834518E-2</v>
      </c>
      <c r="H7" s="11">
        <f t="shared" si="3"/>
        <v>7.2995106361729761E-2</v>
      </c>
      <c r="I7" s="14">
        <f t="shared" si="4"/>
        <v>0.48605282241462694</v>
      </c>
      <c r="J7" s="14">
        <f t="shared" si="5"/>
        <v>0.51394717758537312</v>
      </c>
      <c r="K7" s="15">
        <v>1.4125000000000001</v>
      </c>
      <c r="L7" s="15">
        <v>1.4125000000000001</v>
      </c>
      <c r="M7" s="15">
        <f t="shared" si="1"/>
        <v>1.4125000000000001</v>
      </c>
    </row>
    <row r="8" spans="1:13" x14ac:dyDescent="0.25">
      <c r="A8" s="10">
        <v>6</v>
      </c>
      <c r="B8" s="11">
        <v>0.8869999999999999</v>
      </c>
      <c r="C8" s="11">
        <v>0.88759999999999994</v>
      </c>
      <c r="D8" s="11">
        <f t="shared" si="0"/>
        <v>0.88729999999999998</v>
      </c>
      <c r="E8" s="14">
        <v>13.794</v>
      </c>
      <c r="F8" s="14">
        <v>7.3360000000000003</v>
      </c>
      <c r="G8" s="11">
        <f t="shared" si="2"/>
        <v>0.10762268861668098</v>
      </c>
      <c r="H8" s="11">
        <f t="shared" si="3"/>
        <v>7.3264755817437341E-2</v>
      </c>
      <c r="I8" s="14">
        <f t="shared" si="4"/>
        <v>0.59497047433758532</v>
      </c>
      <c r="J8" s="14">
        <f t="shared" si="5"/>
        <v>0.40502952566241474</v>
      </c>
      <c r="K8" s="15">
        <v>1.413</v>
      </c>
      <c r="L8" s="15">
        <v>1.413</v>
      </c>
      <c r="M8" s="15">
        <f t="shared" si="1"/>
        <v>1.413</v>
      </c>
    </row>
    <row r="9" spans="1:13" x14ac:dyDescent="0.25">
      <c r="A9" s="10">
        <v>7</v>
      </c>
      <c r="B9" s="11">
        <v>0.88160000000000005</v>
      </c>
      <c r="C9" s="11">
        <v>0.87990000000000002</v>
      </c>
      <c r="D9" s="11">
        <f t="shared" si="0"/>
        <v>0.88075000000000003</v>
      </c>
      <c r="E9" s="14">
        <v>12.071</v>
      </c>
      <c r="F9" s="14">
        <v>4.3289999999999997</v>
      </c>
      <c r="G9" s="11">
        <f t="shared" si="2"/>
        <v>9.4179605211828055E-2</v>
      </c>
      <c r="H9" s="11">
        <f t="shared" si="3"/>
        <v>4.3233796065115349E-2</v>
      </c>
      <c r="I9" s="14">
        <f t="shared" si="4"/>
        <v>0.68537423815031095</v>
      </c>
      <c r="J9" s="14">
        <f t="shared" si="5"/>
        <v>0.31462576184968905</v>
      </c>
      <c r="K9" s="15">
        <v>1.413</v>
      </c>
      <c r="L9" s="15">
        <v>1.413</v>
      </c>
      <c r="M9" s="15">
        <f t="shared" si="1"/>
        <v>1.413</v>
      </c>
    </row>
    <row r="10" spans="1:13" x14ac:dyDescent="0.25">
      <c r="A10" s="10">
        <v>8</v>
      </c>
      <c r="B10" s="11">
        <v>0.875</v>
      </c>
      <c r="C10" s="11">
        <v>0.879</v>
      </c>
      <c r="D10" s="11">
        <f t="shared" si="0"/>
        <v>0.877</v>
      </c>
      <c r="E10" s="14">
        <v>9.0050000000000008</v>
      </c>
      <c r="F10" s="14">
        <v>1.7709999999999999</v>
      </c>
      <c r="G10" s="11">
        <f t="shared" si="2"/>
        <v>7.0258250760708449E-2</v>
      </c>
      <c r="H10" s="11">
        <f t="shared" si="3"/>
        <v>1.7687006891041645E-2</v>
      </c>
      <c r="I10" s="14">
        <f t="shared" si="4"/>
        <v>0.79888617802361195</v>
      </c>
      <c r="J10" s="14">
        <f t="shared" si="5"/>
        <v>0.20111382197638802</v>
      </c>
      <c r="K10" s="15">
        <v>1.4135</v>
      </c>
      <c r="L10" s="15">
        <v>1.4135</v>
      </c>
      <c r="M10" s="15">
        <f t="shared" si="1"/>
        <v>1.4135</v>
      </c>
    </row>
    <row r="11" spans="1:13" x14ac:dyDescent="0.25">
      <c r="A11" s="10">
        <v>9</v>
      </c>
      <c r="B11" s="11">
        <v>0.88019999999999998</v>
      </c>
      <c r="C11" s="11">
        <v>0.87849999999999995</v>
      </c>
      <c r="D11" s="11">
        <f t="shared" si="0"/>
        <v>0.87934999999999997</v>
      </c>
      <c r="E11" s="14">
        <v>15.292</v>
      </c>
      <c r="F11" s="14">
        <v>1.2270000000000001</v>
      </c>
      <c r="G11" s="11">
        <f t="shared" si="2"/>
        <v>0.11931029101973942</v>
      </c>
      <c r="H11" s="11">
        <f t="shared" si="3"/>
        <v>1.2254069709377811E-2</v>
      </c>
      <c r="I11" s="14">
        <f t="shared" si="4"/>
        <v>0.90685874471272521</v>
      </c>
      <c r="J11" s="14">
        <f t="shared" si="5"/>
        <v>9.3141255287274738E-2</v>
      </c>
      <c r="K11" s="15">
        <v>1.4139999999999999</v>
      </c>
      <c r="L11" s="15">
        <v>1.4139999999999999</v>
      </c>
      <c r="M11" s="15">
        <f t="shared" si="1"/>
        <v>1.4139999999999999</v>
      </c>
    </row>
    <row r="12" spans="1:13" x14ac:dyDescent="0.25">
      <c r="A12" s="10">
        <v>10</v>
      </c>
      <c r="B12" s="11">
        <v>0.86980000000000002</v>
      </c>
      <c r="C12" s="11">
        <v>0.87160000000000004</v>
      </c>
      <c r="D12" s="11">
        <f t="shared" si="0"/>
        <v>0.87070000000000003</v>
      </c>
      <c r="E12" s="12">
        <v>0</v>
      </c>
      <c r="F12" s="12">
        <v>128.16999999999999</v>
      </c>
      <c r="G12" s="12">
        <v>1</v>
      </c>
      <c r="H12" s="12">
        <v>0</v>
      </c>
      <c r="I12" s="13">
        <v>1</v>
      </c>
      <c r="J12" s="13">
        <v>0</v>
      </c>
      <c r="K12" s="15">
        <v>1.4139999999999999</v>
      </c>
      <c r="L12" s="15">
        <v>1.4145000000000001</v>
      </c>
      <c r="M12" s="15">
        <f t="shared" si="1"/>
        <v>1.41425</v>
      </c>
    </row>
    <row r="13" spans="1:13" x14ac:dyDescent="0.25">
      <c r="D13" s="16"/>
      <c r="I13" s="17"/>
      <c r="J13" s="1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CAC9-66BD-4DD0-9410-FD81EF857E9B}">
  <dimension ref="A1:E13"/>
  <sheetViews>
    <sheetView workbookViewId="0">
      <selection activeCell="G10" sqref="G10"/>
    </sheetView>
  </sheetViews>
  <sheetFormatPr baseColWidth="10" defaultRowHeight="15" x14ac:dyDescent="0.25"/>
  <cols>
    <col min="1" max="1" width="11.5703125" customWidth="1"/>
    <col min="2" max="2" width="11.140625" customWidth="1"/>
    <col min="3" max="3" width="8.28515625" bestFit="1" customWidth="1"/>
  </cols>
  <sheetData>
    <row r="1" spans="1:5" x14ac:dyDescent="0.25">
      <c r="A1" t="s">
        <v>31</v>
      </c>
      <c r="B1" t="s">
        <v>32</v>
      </c>
      <c r="C1" s="7" t="s">
        <v>30</v>
      </c>
      <c r="D1" s="7" t="s">
        <v>34</v>
      </c>
      <c r="E1" s="7" t="s">
        <v>35</v>
      </c>
    </row>
    <row r="2" spans="1:5" x14ac:dyDescent="0.25">
      <c r="A2" s="6" cm="1">
        <f t="array" ref="A2:A12">DATA!M2:M12</f>
        <v>1.4107500000000002</v>
      </c>
      <c r="B2" s="6">
        <f>DATA!J2*DATA!M2</f>
        <v>1.4107500000000002</v>
      </c>
      <c r="C2" s="6">
        <f>A2-B2</f>
        <v>0</v>
      </c>
      <c r="D2" s="4" t="s">
        <v>4</v>
      </c>
      <c r="E2" s="4" t="s">
        <v>4</v>
      </c>
    </row>
    <row r="3" spans="1:5" x14ac:dyDescent="0.25">
      <c r="A3" s="6">
        <v>1.4107500000000002</v>
      </c>
      <c r="B3" s="6">
        <f>DATA!I3*DATA!$M$12+DATA!J3*DATA!$M$2</f>
        <v>1.4111046779029306</v>
      </c>
      <c r="C3" s="6">
        <f t="shared" ref="C3:C12" si="0">A3-B3</f>
        <v>-3.5467790293042256E-4</v>
      </c>
      <c r="D3" s="5">
        <f>DATA!G3*BASIS!$B$8</f>
        <v>4.2370000000000001</v>
      </c>
      <c r="E3">
        <f>DATA!H3*BASIS!$B$9</f>
        <v>29.353999999999999</v>
      </c>
    </row>
    <row r="4" spans="1:5" x14ac:dyDescent="0.25">
      <c r="A4" s="6">
        <v>1.4112499999999999</v>
      </c>
      <c r="B4" s="6">
        <f>DATA!I4*DATA!$M$12+DATA!J4*DATA!$M$2</f>
        <v>1.4114509789293117</v>
      </c>
      <c r="C4" s="6">
        <f t="shared" si="0"/>
        <v>-2.0097892931181249E-4</v>
      </c>
      <c r="D4" s="5">
        <f>DATA!G4*BASIS!$B$8</f>
        <v>8.2539999999999996</v>
      </c>
      <c r="E4">
        <f>DATA!H4*BASIS!$B$9</f>
        <v>25.748000000000001</v>
      </c>
    </row>
    <row r="5" spans="1:5" x14ac:dyDescent="0.25">
      <c r="A5" s="6">
        <v>1.4115</v>
      </c>
      <c r="B5" s="6">
        <f>DATA!I5*DATA!$M$12+DATA!J5*DATA!$M$2</f>
        <v>1.4118046923369789</v>
      </c>
      <c r="C5" s="6">
        <f t="shared" si="0"/>
        <v>-3.0469233697894005E-4</v>
      </c>
      <c r="D5" s="5">
        <f>DATA!G5*BASIS!$B$8</f>
        <v>5.9930000000000003</v>
      </c>
      <c r="E5">
        <f>DATA!H5*BASIS!$B$9</f>
        <v>10.855</v>
      </c>
    </row>
    <row r="6" spans="1:5" x14ac:dyDescent="0.25">
      <c r="A6" s="6">
        <v>1.4119999999999999</v>
      </c>
      <c r="B6" s="6">
        <f>DATA!I6*DATA!$M$12+DATA!J6*DATA!$M$2</f>
        <v>1.4121566476214322</v>
      </c>
      <c r="C6" s="6">
        <f t="shared" si="0"/>
        <v>-1.5664762143230426E-4</v>
      </c>
      <c r="D6" s="5">
        <f>DATA!G6*BASIS!$B$8</f>
        <v>11.592000000000001</v>
      </c>
      <c r="E6">
        <f>DATA!H6*BASIS!$B$9</f>
        <v>13.477</v>
      </c>
    </row>
    <row r="7" spans="1:5" x14ac:dyDescent="0.25">
      <c r="A7" s="6">
        <v>1.4125000000000001</v>
      </c>
      <c r="B7" s="6">
        <f>DATA!I7*DATA!$M$12+DATA!J7*DATA!$M$2</f>
        <v>1.4124511848784513</v>
      </c>
      <c r="C7" s="6">
        <f t="shared" si="0"/>
        <v>4.8815121548750895E-5</v>
      </c>
      <c r="D7" s="5">
        <f>DATA!G7*BASIS!$B$8</f>
        <v>8.8480000000000008</v>
      </c>
      <c r="E7">
        <f>DATA!H7*BASIS!$B$9</f>
        <v>7.3090000000000011</v>
      </c>
    </row>
    <row r="8" spans="1:5" x14ac:dyDescent="0.25">
      <c r="A8" s="6">
        <v>1.413</v>
      </c>
      <c r="B8" s="6">
        <f>DATA!I8*DATA!$M$12+DATA!J8*DATA!$M$2</f>
        <v>1.4128323966601817</v>
      </c>
      <c r="C8" s="6">
        <f t="shared" si="0"/>
        <v>1.6760333981835629E-4</v>
      </c>
      <c r="D8" s="5">
        <f>DATA!G8*BASIS!$B$8</f>
        <v>13.794</v>
      </c>
      <c r="E8">
        <f>DATA!H8*BASIS!$B$9</f>
        <v>7.3360000000000003</v>
      </c>
    </row>
    <row r="9" spans="1:5" x14ac:dyDescent="0.25">
      <c r="A9" s="6">
        <v>1.413</v>
      </c>
      <c r="B9" s="6">
        <f>DATA!I9*DATA!$M$12+DATA!J9*DATA!$M$2</f>
        <v>1.4131488098335261</v>
      </c>
      <c r="C9" s="6">
        <f t="shared" si="0"/>
        <v>-1.4880983352605348E-4</v>
      </c>
      <c r="D9" s="5">
        <f>DATA!G9*BASIS!$B$8</f>
        <v>12.071</v>
      </c>
      <c r="E9">
        <f>DATA!H9*BASIS!$B$9</f>
        <v>4.3289999999999997</v>
      </c>
    </row>
    <row r="10" spans="1:5" x14ac:dyDescent="0.25">
      <c r="A10" s="6">
        <v>1.4135</v>
      </c>
      <c r="B10" s="6">
        <f>DATA!I10*DATA!$M$12+DATA!J10*DATA!$M$2</f>
        <v>1.4135461016230826</v>
      </c>
      <c r="C10" s="6">
        <f t="shared" si="0"/>
        <v>-4.6101623082606125E-5</v>
      </c>
      <c r="D10" s="5">
        <f>DATA!G10*BASIS!$B$8</f>
        <v>9.0050000000000008</v>
      </c>
      <c r="E10">
        <f>DATA!H10*BASIS!$B$9</f>
        <v>1.7709999999999999</v>
      </c>
    </row>
    <row r="11" spans="1:5" x14ac:dyDescent="0.25">
      <c r="A11" s="6">
        <v>1.4139999999999999</v>
      </c>
      <c r="B11" s="6">
        <f>DATA!I11*DATA!$M$12+DATA!J11*DATA!$M$2</f>
        <v>1.4139240056064946</v>
      </c>
      <c r="C11" s="6">
        <f t="shared" si="0"/>
        <v>7.5994393505363078E-5</v>
      </c>
      <c r="D11" s="5">
        <f>DATA!G11*BASIS!$B$8</f>
        <v>15.292</v>
      </c>
      <c r="E11">
        <f>DATA!H11*BASIS!$B$9</f>
        <v>1.2270000000000001</v>
      </c>
    </row>
    <row r="12" spans="1:5" x14ac:dyDescent="0.25">
      <c r="A12" s="6">
        <v>1.41425</v>
      </c>
      <c r="B12" s="6">
        <f>DATA!I12*DATA!M12</f>
        <v>1.41425</v>
      </c>
      <c r="C12" s="6">
        <f t="shared" si="0"/>
        <v>0</v>
      </c>
      <c r="D12" s="4" t="s">
        <v>4</v>
      </c>
      <c r="E12" s="4" t="s">
        <v>4</v>
      </c>
    </row>
    <row r="13" spans="1:5" x14ac:dyDescent="0.25">
      <c r="A1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BASIS</vt:lpstr>
      <vt:lpstr>COLLECTING</vt:lpstr>
      <vt:lpstr>DATA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Randhal Ramirez</dc:creator>
  <cp:lastModifiedBy>Randhal Ramirez</cp:lastModifiedBy>
  <cp:lastPrinted>2021-08-26T20:38:39Z</cp:lastPrinted>
  <dcterms:created xsi:type="dcterms:W3CDTF">2015-06-05T18:17:20Z</dcterms:created>
  <dcterms:modified xsi:type="dcterms:W3CDTF">2021-08-29T13:51:56Z</dcterms:modified>
</cp:coreProperties>
</file>